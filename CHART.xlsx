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ka\OneDrive\Desktop\"/>
    </mc:Choice>
  </mc:AlternateContent>
  <xr:revisionPtr revIDLastSave="0" documentId="13_ncr:1_{390CA3E7-00BD-4314-9B23-DE371CE4E9BD}" xr6:coauthVersionLast="47" xr6:coauthVersionMax="47" xr10:uidLastSave="{00000000-0000-0000-0000-000000000000}"/>
  <bookViews>
    <workbookView xWindow="-108" yWindow="-108" windowWidth="23256" windowHeight="12456" activeTab="1" xr2:uid="{9387A86D-18B0-4A71-B4AB-E39C25836CE8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_xlchart.v1.0" hidden="1">Sheet1!$A$6:$A$11</definedName>
    <definedName name="_xlchart.v1.1" hidden="1">Sheet1!$B$6:$B$11</definedName>
    <definedName name="_xlchart.v1.2" hidden="1">Sheet1!$A$4:$A$11</definedName>
    <definedName name="_xlchart.v1.3" hidden="1">Sheet1!$B$4:$B$11</definedName>
    <definedName name="_xlchart.v1.4" hidden="1">Sheet1!$A$4:$A$11</definedName>
    <definedName name="_xlchart.v1.5" hidden="1">Sheet1!$B$4:$B$11</definedName>
    <definedName name="_xlchart.v1.6" hidden="1">Sheet1!$A$4:$A$11</definedName>
    <definedName name="_xlchart.v1.7" hidden="1">Sheet1!$A$4:$A$11</definedName>
    <definedName name="_xlchart.v1.8" hidden="1">Sheet1!$B$4:$B$11</definedName>
    <definedName name="_xlchart.v1.9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10" i="2" s="1"/>
  <c r="D11" i="2" s="1"/>
  <c r="D7" i="2"/>
  <c r="D6" i="2"/>
</calcChain>
</file>

<file path=xl/sharedStrings.xml><?xml version="1.0" encoding="utf-8"?>
<sst xmlns="http://schemas.openxmlformats.org/spreadsheetml/2006/main" count="34" uniqueCount="34">
  <si>
    <t>team/over</t>
  </si>
  <si>
    <t>india</t>
  </si>
  <si>
    <t>australia</t>
  </si>
  <si>
    <t>TAMILNADU ELECTION MONTH 2025</t>
  </si>
  <si>
    <t>PARTY NAME</t>
  </si>
  <si>
    <t>%OF VOTES</t>
  </si>
  <si>
    <t>TVK</t>
  </si>
  <si>
    <t>DMK</t>
  </si>
  <si>
    <t>ADMK</t>
  </si>
  <si>
    <t>BJP</t>
  </si>
  <si>
    <t>DMDK</t>
  </si>
  <si>
    <t>NTMK</t>
  </si>
  <si>
    <t>POPULATION</t>
  </si>
  <si>
    <t>INCORE</t>
  </si>
  <si>
    <t>INDIA</t>
  </si>
  <si>
    <t>CHINA</t>
  </si>
  <si>
    <t>USA</t>
  </si>
  <si>
    <t>UK</t>
  </si>
  <si>
    <t>JAPAN</t>
  </si>
  <si>
    <t>AUSTRALIA</t>
  </si>
  <si>
    <t>SOUTH AFRICA</t>
  </si>
  <si>
    <t>RUSSIA</t>
  </si>
  <si>
    <t>DOB</t>
  </si>
  <si>
    <t>MON</t>
  </si>
  <si>
    <t>SUN</t>
  </si>
  <si>
    <t>TUES</t>
  </si>
  <si>
    <t>WED</t>
  </si>
  <si>
    <t>THURS</t>
  </si>
  <si>
    <t>FRI</t>
  </si>
  <si>
    <t>SAT</t>
  </si>
  <si>
    <t>CURRENT DATE</t>
  </si>
  <si>
    <t>DAYS</t>
  </si>
  <si>
    <t>AGE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</si>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</sst>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139610673665793"/>
          <c:y val="0.15060185185185185"/>
          <c:w val="0.39609689413823274"/>
          <c:h val="0.66016149023038784"/>
        </c:manualLayout>
      </c:layout>
      <c:pieChart>
        <c:varyColors val="1"/>
        <c:ser>
          <c:idx val="0"/>
          <c:order val="0"/>
          <c:tx>
            <c:strRef>
              <c:f>Sheet4!$C$3</c:f>
              <c:strCache>
                <c:ptCount val="1"/>
                <c:pt idx="0">
                  <c:v>%OF VOTES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79-4F78-82F9-1973C00EB6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179-4F78-82F9-1973C00EB6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79-4F78-82F9-1973C00EB67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179-4F78-82F9-1973C00EB67D}"/>
              </c:ext>
            </c:extLst>
          </c:dPt>
          <c:cat>
            <c:strRef>
              <c:f>Sheet4!$B$4:$B$9</c:f>
              <c:strCache>
                <c:ptCount val="6"/>
                <c:pt idx="0">
                  <c:v>TVK</c:v>
                </c:pt>
                <c:pt idx="1">
                  <c:v>DMK</c:v>
                </c:pt>
                <c:pt idx="2">
                  <c:v>ADMK</c:v>
                </c:pt>
                <c:pt idx="3">
                  <c:v>BJP</c:v>
                </c:pt>
                <c:pt idx="4">
                  <c:v>DMDK</c:v>
                </c:pt>
                <c:pt idx="5">
                  <c:v>NTMK</c:v>
                </c:pt>
              </c:strCache>
            </c:strRef>
          </c:cat>
          <c:val>
            <c:numRef>
              <c:f>Sheet4!$C$4:$C$9</c:f>
              <c:numCache>
                <c:formatCode>0%</c:formatCode>
                <c:ptCount val="6"/>
                <c:pt idx="0">
                  <c:v>0.5</c:v>
                </c:pt>
                <c:pt idx="1">
                  <c:v>0.35</c:v>
                </c:pt>
                <c:pt idx="2">
                  <c:v>0.15</c:v>
                </c:pt>
                <c:pt idx="3">
                  <c:v>0.01</c:v>
                </c:pt>
                <c:pt idx="4">
                  <c:v>0.01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9-4F78-82F9-1973C00EB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</a:t>
            </a:r>
            <a:r>
              <a:rPr lang="en-US" baseline="0"/>
              <a:t> VS AUS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4188188976377951"/>
          <c:y val="3.0905077262693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Sheet3!$C$3:$L$3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55</c:v>
                </c:pt>
                <c:pt idx="4">
                  <c:v>56</c:v>
                </c:pt>
                <c:pt idx="5">
                  <c:v>66</c:v>
                </c:pt>
                <c:pt idx="6">
                  <c:v>69</c:v>
                </c:pt>
                <c:pt idx="7">
                  <c:v>72</c:v>
                </c:pt>
                <c:pt idx="8">
                  <c:v>75</c:v>
                </c:pt>
                <c:pt idx="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0-4A0A-9165-A36180E3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950352"/>
        <c:axId val="1912952272"/>
      </c:lineChart>
      <c:catAx>
        <c:axId val="191295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952272"/>
        <c:crosses val="autoZero"/>
        <c:auto val="1"/>
        <c:lblAlgn val="ctr"/>
        <c:lblOffset val="100"/>
        <c:noMultiLvlLbl val="0"/>
      </c:catAx>
      <c:valAx>
        <c:axId val="191295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9503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 VS AUS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Sheet3!$C$3:$L$3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55</c:v>
                </c:pt>
                <c:pt idx="4">
                  <c:v>56</c:v>
                </c:pt>
                <c:pt idx="5">
                  <c:v>66</c:v>
                </c:pt>
                <c:pt idx="6">
                  <c:v>69</c:v>
                </c:pt>
                <c:pt idx="7">
                  <c:v>72</c:v>
                </c:pt>
                <c:pt idx="8">
                  <c:v>75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4-486E-93C6-B48BF91495D6}"/>
            </c:ext>
          </c:extLst>
        </c:ser>
        <c:ser>
          <c:idx val="1"/>
          <c:order val="1"/>
          <c:tx>
            <c:strRef>
              <c:f>Sheet3!$B$4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Sheet3!$C$4:$L$4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47</c:v>
                </c:pt>
                <c:pt idx="7">
                  <c:v>58</c:v>
                </c:pt>
                <c:pt idx="8">
                  <c:v>69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4-486E-93C6-B48BF91495D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0764592"/>
        <c:axId val="2090752592"/>
      </c:barChart>
      <c:catAx>
        <c:axId val="209076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52592"/>
        <c:crosses val="autoZero"/>
        <c:auto val="1"/>
        <c:lblAlgn val="ctr"/>
        <c:lblOffset val="100"/>
        <c:noMultiLvlLbl val="0"/>
      </c:catAx>
      <c:valAx>
        <c:axId val="20907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6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DC417CEE-8ED7-4BBB-AF22-4F6A417A86DC}"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2F716BF4-294F-4CD9-91D2-6D4C0BCD5DD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6</xdr:row>
      <xdr:rowOff>41910</xdr:rowOff>
    </xdr:from>
    <xdr:to>
      <xdr:col>14</xdr:col>
      <xdr:colOff>571500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6B92FED-011F-FC06-F5F0-6952F4E3E4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6</xdr:row>
      <xdr:rowOff>41910</xdr:rowOff>
    </xdr:from>
    <xdr:to>
      <xdr:col>12</xdr:col>
      <xdr:colOff>129540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7F0733-0BD7-51B2-A8B8-C58FEE808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5</xdr:row>
      <xdr:rowOff>91440</xdr:rowOff>
    </xdr:from>
    <xdr:to>
      <xdr:col>15</xdr:col>
      <xdr:colOff>15240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8DC5B-87AC-866C-54F9-A5C38D93B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320040</xdr:colOff>
      <xdr:row>6</xdr:row>
      <xdr:rowOff>41910</xdr:rowOff>
    </xdr:from>
    <xdr:to>
      <xdr:col>15</xdr:col>
      <xdr:colOff>15240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F65EFE-D4BF-61DE-AD6D-DFE9BE51B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DABA-1745-4EE4-A4DD-1F230D604533}">
  <dimension ref="A1:F13"/>
  <sheetViews>
    <sheetView topLeftCell="A6" workbookViewId="0">
      <selection activeCell="J23" sqref="J23"/>
    </sheetView>
  </sheetViews>
  <sheetFormatPr defaultRowHeight="14.4" x14ac:dyDescent="0.3"/>
  <cols>
    <col min="1" max="1" width="12.77734375" customWidth="1"/>
  </cols>
  <sheetData>
    <row r="1" spans="1:6" x14ac:dyDescent="0.3">
      <c r="A1">
        <v>50</v>
      </c>
    </row>
    <row r="3" spans="1:6" x14ac:dyDescent="0.3">
      <c r="A3" t="s">
        <v>12</v>
      </c>
      <c r="B3" t="s">
        <v>13</v>
      </c>
    </row>
    <row r="4" spans="1:6" x14ac:dyDescent="0.3">
      <c r="A4" t="s">
        <v>14</v>
      </c>
      <c r="B4">
        <v>146</v>
      </c>
    </row>
    <row r="5" spans="1:6" x14ac:dyDescent="0.3">
      <c r="A5" t="s">
        <v>15</v>
      </c>
      <c r="B5">
        <v>141</v>
      </c>
    </row>
    <row r="6" spans="1:6" x14ac:dyDescent="0.3">
      <c r="A6" t="s">
        <v>16</v>
      </c>
      <c r="B6">
        <v>34</v>
      </c>
    </row>
    <row r="7" spans="1:6" x14ac:dyDescent="0.3">
      <c r="A7" t="s">
        <v>17</v>
      </c>
      <c r="B7">
        <v>60</v>
      </c>
    </row>
    <row r="8" spans="1:6" x14ac:dyDescent="0.3">
      <c r="A8" t="s">
        <v>18</v>
      </c>
      <c r="B8">
        <v>123</v>
      </c>
    </row>
    <row r="9" spans="1:6" x14ac:dyDescent="0.3">
      <c r="A9" t="s">
        <v>19</v>
      </c>
      <c r="B9">
        <v>28</v>
      </c>
    </row>
    <row r="10" spans="1:6" x14ac:dyDescent="0.3">
      <c r="A10" t="s">
        <v>20</v>
      </c>
      <c r="B10">
        <v>64</v>
      </c>
    </row>
    <row r="11" spans="1:6" x14ac:dyDescent="0.3">
      <c r="A11" t="s">
        <v>21</v>
      </c>
      <c r="B11">
        <v>144</v>
      </c>
    </row>
    <row r="13" spans="1:6" x14ac:dyDescent="0.3">
      <c r="F13" s="2"/>
    </row>
  </sheetData>
  <dataConsolidate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FC21-24B6-4BB8-B411-0DA9106D97E9}">
  <dimension ref="A1:G12"/>
  <sheetViews>
    <sheetView tabSelected="1" workbookViewId="0">
      <selection activeCell="C8" sqref="C8"/>
    </sheetView>
  </sheetViews>
  <sheetFormatPr defaultRowHeight="14.4" x14ac:dyDescent="0.3"/>
  <cols>
    <col min="3" max="3" width="15.109375" customWidth="1"/>
    <col min="4" max="4" width="33.21875" customWidth="1"/>
    <col min="5" max="5" width="20.109375" customWidth="1"/>
  </cols>
  <sheetData>
    <row r="1" spans="1:7" x14ac:dyDescent="0.3">
      <c r="A1">
        <v>60</v>
      </c>
    </row>
    <row r="4" spans="1:7" x14ac:dyDescent="0.3">
      <c r="C4" t="s">
        <v>22</v>
      </c>
      <c r="D4" s="3">
        <v>37535</v>
      </c>
    </row>
    <row r="6" spans="1:7" x14ac:dyDescent="0.3">
      <c r="D6">
        <f>WEEKDAY(D4)</f>
        <v>1</v>
      </c>
      <c r="F6">
        <v>1</v>
      </c>
      <c r="G6" t="s">
        <v>24</v>
      </c>
    </row>
    <row r="7" spans="1:7" x14ac:dyDescent="0.3">
      <c r="C7" t="s">
        <v>33</v>
      </c>
      <c r="D7" t="str">
        <f>VLOOKUP(WEEKDAY(D4),F6:G12,2,FALSE)</f>
        <v>SUN</v>
      </c>
      <c r="F7">
        <v>2</v>
      </c>
      <c r="G7" t="s">
        <v>23</v>
      </c>
    </row>
    <row r="8" spans="1:7" x14ac:dyDescent="0.3">
      <c r="F8">
        <v>3</v>
      </c>
      <c r="G8" t="s">
        <v>25</v>
      </c>
    </row>
    <row r="9" spans="1:7" x14ac:dyDescent="0.3">
      <c r="C9" t="s">
        <v>30</v>
      </c>
      <c r="D9" s="4">
        <f ca="1">NOW()</f>
        <v>46009.730214351854</v>
      </c>
      <c r="F9">
        <v>4</v>
      </c>
      <c r="G9" t="s">
        <v>26</v>
      </c>
    </row>
    <row r="10" spans="1:7" x14ac:dyDescent="0.3">
      <c r="C10" t="s">
        <v>31</v>
      </c>
      <c r="D10">
        <f ca="1">D9-D4</f>
        <v>8474.7302143518536</v>
      </c>
      <c r="F10">
        <v>5</v>
      </c>
      <c r="G10" t="s">
        <v>27</v>
      </c>
    </row>
    <row r="11" spans="1:7" x14ac:dyDescent="0.3">
      <c r="C11" t="s">
        <v>32</v>
      </c>
      <c r="D11">
        <f ca="1">D10/365</f>
        <v>23.218438943429735</v>
      </c>
      <c r="F11">
        <v>6</v>
      </c>
      <c r="G11" t="s">
        <v>28</v>
      </c>
    </row>
    <row r="12" spans="1:7" x14ac:dyDescent="0.3">
      <c r="F12">
        <v>7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E6CA-A338-4742-998F-727150359A14}">
  <dimension ref="B1:C9"/>
  <sheetViews>
    <sheetView workbookViewId="0">
      <selection activeCell="H6" sqref="H6"/>
    </sheetView>
  </sheetViews>
  <sheetFormatPr defaultRowHeight="14.4" x14ac:dyDescent="0.3"/>
  <cols>
    <col min="2" max="2" width="12.6640625" customWidth="1"/>
    <col min="3" max="3" width="11.109375" customWidth="1"/>
    <col min="4" max="4" width="11.21875" customWidth="1"/>
  </cols>
  <sheetData>
    <row r="1" spans="2:3" x14ac:dyDescent="0.3">
      <c r="C1" t="s">
        <v>3</v>
      </c>
    </row>
    <row r="3" spans="2:3" x14ac:dyDescent="0.3">
      <c r="B3" t="s">
        <v>4</v>
      </c>
      <c r="C3" t="s">
        <v>5</v>
      </c>
    </row>
    <row r="4" spans="2:3" x14ac:dyDescent="0.3">
      <c r="B4" t="s">
        <v>6</v>
      </c>
      <c r="C4" s="1">
        <v>0.5</v>
      </c>
    </row>
    <row r="5" spans="2:3" x14ac:dyDescent="0.3">
      <c r="B5" t="s">
        <v>7</v>
      </c>
      <c r="C5" s="1">
        <v>0.35</v>
      </c>
    </row>
    <row r="6" spans="2:3" x14ac:dyDescent="0.3">
      <c r="B6" t="s">
        <v>8</v>
      </c>
      <c r="C6" s="1">
        <v>0.15</v>
      </c>
    </row>
    <row r="7" spans="2:3" x14ac:dyDescent="0.3">
      <c r="B7" t="s">
        <v>9</v>
      </c>
      <c r="C7" s="1">
        <v>0.01</v>
      </c>
    </row>
    <row r="8" spans="2:3" x14ac:dyDescent="0.3">
      <c r="B8" t="s">
        <v>10</v>
      </c>
      <c r="C8" s="1">
        <v>0.01</v>
      </c>
    </row>
    <row r="9" spans="2:3" x14ac:dyDescent="0.3">
      <c r="B9" t="s">
        <v>11</v>
      </c>
      <c r="C9" s="1">
        <v>0.1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6A2D-2C1E-4346-BB9A-1AC6BC7051A6}">
  <dimension ref="A1:L4"/>
  <sheetViews>
    <sheetView workbookViewId="0">
      <selection activeCell="E16" sqref="E16"/>
    </sheetView>
  </sheetViews>
  <sheetFormatPr defaultRowHeight="14.4" x14ac:dyDescent="0.3"/>
  <cols>
    <col min="2" max="2" width="12" customWidth="1"/>
  </cols>
  <sheetData>
    <row r="1" spans="1:12" x14ac:dyDescent="0.3">
      <c r="A1">
        <v>110</v>
      </c>
    </row>
    <row r="2" spans="1:12" x14ac:dyDescent="0.3">
      <c r="B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3">
      <c r="B3" t="s">
        <v>1</v>
      </c>
      <c r="C3">
        <v>10</v>
      </c>
      <c r="D3">
        <v>15</v>
      </c>
      <c r="E3">
        <v>25</v>
      </c>
      <c r="F3">
        <v>55</v>
      </c>
      <c r="G3">
        <v>56</v>
      </c>
      <c r="H3">
        <v>66</v>
      </c>
      <c r="I3">
        <v>69</v>
      </c>
      <c r="J3">
        <v>72</v>
      </c>
      <c r="K3">
        <v>75</v>
      </c>
      <c r="L3">
        <v>79</v>
      </c>
    </row>
    <row r="4" spans="1:12" x14ac:dyDescent="0.3">
      <c r="B4" t="s">
        <v>2</v>
      </c>
      <c r="C4">
        <v>5</v>
      </c>
      <c r="D4">
        <v>9</v>
      </c>
      <c r="E4">
        <v>10</v>
      </c>
      <c r="F4">
        <v>15</v>
      </c>
      <c r="G4">
        <v>25</v>
      </c>
      <c r="H4">
        <v>35</v>
      </c>
      <c r="I4">
        <v>47</v>
      </c>
      <c r="J4">
        <v>58</v>
      </c>
      <c r="K4">
        <v>69</v>
      </c>
      <c r="L4">
        <v>78</v>
      </c>
    </row>
  </sheetData>
  <dataConsolidate>
    <dataRefs count="2">
      <dataRef ref="A1" sheet="Sheet1"/>
      <dataRef ref="A1" sheet="Sheet2"/>
    </dataRefs>
  </dataConsolid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Sneka R</dc:creator>
  <cp:lastModifiedBy>Sneka R</cp:lastModifiedBy>
  <dcterms:created xsi:type="dcterms:W3CDTF">2025-12-18T09:37:54Z</dcterms:created>
  <dcterms:modified xsi:type="dcterms:W3CDTF">2025-12-18T12:01:47Z</dcterms:modified>
</cp:coreProperties>
</file>