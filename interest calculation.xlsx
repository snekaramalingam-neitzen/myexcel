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ka\AppData\Roaming\Microsoft\Windows\Network Shortcuts\"/>
    </mc:Choice>
  </mc:AlternateContent>
  <xr:revisionPtr revIDLastSave="0" documentId="13_ncr:1_{5C55CCB5-9319-4D47-90E4-F3E11BC42E1D}" xr6:coauthVersionLast="47" xr6:coauthVersionMax="47" xr10:uidLastSave="{00000000-0000-0000-0000-000000000000}"/>
  <bookViews>
    <workbookView xWindow="-108" yWindow="-108" windowWidth="23256" windowHeight="12456" activeTab="2" xr2:uid="{C95ACDD0-39A3-436C-A32A-9310DDB09D29}"/>
  </bookViews>
  <sheets>
    <sheet name="interest calculation  " sheetId="1" r:id="rId1"/>
    <sheet name="Sheet3" sheetId="4" r:id="rId2"/>
    <sheet name="Sheet4" sheetId="5" r:id="rId3"/>
    <sheet name="Sheet1" sheetId="3" r:id="rId4"/>
    <sheet name="Sheet2" sheetId="2" r:id="rId5"/>
  </sheets>
  <definedNames>
    <definedName name="ir">Sheet4!$C$4</definedName>
    <definedName name="no.of.years">Sheet4!$C$5</definedName>
    <definedName name="noy">Sheet4!$C$5</definedName>
    <definedName name="principal">Sheet4!$C$3</definedName>
    <definedName name="principle">Sheet4!$C$3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5" l="1"/>
  <c r="C7" i="5" a="1"/>
  <c r="C7" i="5" s="1"/>
  <c r="B27" i="4"/>
  <c r="C27" i="4"/>
  <c r="D27" i="4"/>
  <c r="E27" i="4"/>
  <c r="F27" i="4"/>
  <c r="B22" i="4"/>
  <c r="C22" i="4"/>
  <c r="D22" i="4"/>
  <c r="E22" i="4"/>
  <c r="F22" i="4"/>
  <c r="B23" i="4"/>
  <c r="C23" i="4" s="1"/>
  <c r="E23" i="4" s="1"/>
  <c r="D23" i="4"/>
  <c r="D24" i="4"/>
  <c r="D25" i="4"/>
  <c r="D26" i="4"/>
  <c r="B8" i="4"/>
  <c r="C8" i="4"/>
  <c r="D8" i="4"/>
  <c r="E8" i="4"/>
  <c r="F8" i="4"/>
  <c r="B9" i="4"/>
  <c r="C9" i="4" s="1"/>
  <c r="E9" i="4" s="1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B6" i="4"/>
  <c r="C6" i="4"/>
  <c r="D6" i="4"/>
  <c r="E6" i="4"/>
  <c r="F6" i="4"/>
  <c r="B7" i="4" s="1"/>
  <c r="D7" i="4"/>
  <c r="B5" i="4"/>
  <c r="C5" i="4" s="1"/>
  <c r="E5" i="4" s="1"/>
  <c r="F5" i="4" s="1"/>
  <c r="D5" i="4"/>
  <c r="D4" i="4"/>
  <c r="C4" i="4"/>
  <c r="B22" i="2"/>
  <c r="C22" i="2"/>
  <c r="D22" i="2"/>
  <c r="E22" i="2"/>
  <c r="F22" i="2"/>
  <c r="B23" i="2"/>
  <c r="C23" i="2" s="1"/>
  <c r="E23" i="2" s="1"/>
  <c r="D23" i="2"/>
  <c r="D24" i="2"/>
  <c r="D25" i="2"/>
  <c r="D26" i="2"/>
  <c r="D27" i="2"/>
  <c r="D28" i="2"/>
  <c r="D29" i="2"/>
  <c r="D30" i="2"/>
  <c r="B6" i="2"/>
  <c r="C6" i="2"/>
  <c r="D6" i="2"/>
  <c r="E6" i="2"/>
  <c r="F6" i="2"/>
  <c r="B7" i="2" s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5" i="2"/>
  <c r="D4" i="2"/>
  <c r="C4" i="2"/>
  <c r="B6" i="1"/>
  <c r="B5" i="1"/>
  <c r="B4" i="1"/>
  <c r="E8" i="5" l="1"/>
  <c r="F23" i="4"/>
  <c r="B24" i="4" s="1"/>
  <c r="F9" i="4"/>
  <c r="B10" i="4" s="1"/>
  <c r="C7" i="4"/>
  <c r="E7" i="4" s="1"/>
  <c r="F7" i="4"/>
  <c r="E4" i="4"/>
  <c r="F4" i="4" s="1"/>
  <c r="F23" i="2"/>
  <c r="B24" i="2" s="1"/>
  <c r="C7" i="2"/>
  <c r="E7" i="2" s="1"/>
  <c r="F7" i="2"/>
  <c r="B8" i="2" s="1"/>
  <c r="E4" i="2"/>
  <c r="F4" i="2" s="1"/>
  <c r="B5" i="2" s="1"/>
  <c r="C24" i="4" l="1"/>
  <c r="E24" i="4" s="1"/>
  <c r="F24" i="4" s="1"/>
  <c r="B25" i="4" s="1"/>
  <c r="C10" i="4"/>
  <c r="E10" i="4" s="1"/>
  <c r="F10" i="4" s="1"/>
  <c r="B11" i="4" s="1"/>
  <c r="C24" i="2"/>
  <c r="E24" i="2" s="1"/>
  <c r="F24" i="2" s="1"/>
  <c r="B25" i="2" s="1"/>
  <c r="C8" i="2"/>
  <c r="E8" i="2" s="1"/>
  <c r="F8" i="2"/>
  <c r="B9" i="2" s="1"/>
  <c r="C5" i="2"/>
  <c r="E5" i="2" s="1"/>
  <c r="F5" i="2" s="1"/>
  <c r="C25" i="4" l="1"/>
  <c r="E25" i="4" s="1"/>
  <c r="F25" i="4" s="1"/>
  <c r="B26" i="4" s="1"/>
  <c r="C11" i="4"/>
  <c r="E11" i="4" s="1"/>
  <c r="F11" i="4" s="1"/>
  <c r="B12" i="4" s="1"/>
  <c r="C25" i="2"/>
  <c r="E25" i="2" s="1"/>
  <c r="F25" i="2" s="1"/>
  <c r="B26" i="2" s="1"/>
  <c r="C9" i="2"/>
  <c r="E9" i="2" s="1"/>
  <c r="F9" i="2" s="1"/>
  <c r="B10" i="2" s="1"/>
  <c r="C26" i="4" l="1"/>
  <c r="E26" i="4" s="1"/>
  <c r="F26" i="4" s="1"/>
  <c r="C12" i="4"/>
  <c r="E12" i="4" s="1"/>
  <c r="F12" i="4" s="1"/>
  <c r="B13" i="4" s="1"/>
  <c r="C26" i="2"/>
  <c r="E26" i="2" s="1"/>
  <c r="F26" i="2" s="1"/>
  <c r="B27" i="2" s="1"/>
  <c r="C10" i="2"/>
  <c r="E10" i="2" s="1"/>
  <c r="F10" i="2" s="1"/>
  <c r="B11" i="2" s="1"/>
  <c r="C13" i="4" l="1"/>
  <c r="E13" i="4" s="1"/>
  <c r="F13" i="4"/>
  <c r="B14" i="4" s="1"/>
  <c r="C27" i="2"/>
  <c r="E27" i="2" s="1"/>
  <c r="F27" i="2"/>
  <c r="B28" i="2" s="1"/>
  <c r="C11" i="2"/>
  <c r="E11" i="2" s="1"/>
  <c r="F11" i="2" s="1"/>
  <c r="B12" i="2" s="1"/>
  <c r="C14" i="4" l="1"/>
  <c r="E14" i="4" s="1"/>
  <c r="F14" i="4"/>
  <c r="B15" i="4" s="1"/>
  <c r="C28" i="2"/>
  <c r="E28" i="2" s="1"/>
  <c r="F28" i="2"/>
  <c r="B29" i="2" s="1"/>
  <c r="C12" i="2"/>
  <c r="E12" i="2" s="1"/>
  <c r="F12" i="2"/>
  <c r="B13" i="2" s="1"/>
  <c r="C15" i="4" l="1"/>
  <c r="E15" i="4" s="1"/>
  <c r="F15" i="4"/>
  <c r="B16" i="4" s="1"/>
  <c r="C29" i="2"/>
  <c r="E29" i="2" s="1"/>
  <c r="F29" i="2"/>
  <c r="B30" i="2" s="1"/>
  <c r="C13" i="2"/>
  <c r="E13" i="2" s="1"/>
  <c r="F13" i="2"/>
  <c r="B14" i="2" s="1"/>
  <c r="C16" i="4" l="1"/>
  <c r="E16" i="4" s="1"/>
  <c r="F16" i="4" s="1"/>
  <c r="B17" i="4" s="1"/>
  <c r="C30" i="2"/>
  <c r="E30" i="2" s="1"/>
  <c r="F30" i="2" s="1"/>
  <c r="C14" i="2"/>
  <c r="E14" i="2" s="1"/>
  <c r="F14" i="2"/>
  <c r="B15" i="2" s="1"/>
  <c r="C17" i="4" l="1"/>
  <c r="E17" i="4" s="1"/>
  <c r="F17" i="4" s="1"/>
  <c r="B18" i="4" s="1"/>
  <c r="C15" i="2"/>
  <c r="E15" i="2" s="1"/>
  <c r="F15" i="2" s="1"/>
  <c r="B16" i="2" s="1"/>
  <c r="C18" i="4" l="1"/>
  <c r="E18" i="4" s="1"/>
  <c r="F18" i="4" s="1"/>
  <c r="B19" i="4" s="1"/>
  <c r="C16" i="2"/>
  <c r="E16" i="2" s="1"/>
  <c r="F16" i="2" s="1"/>
  <c r="B17" i="2" s="1"/>
  <c r="C19" i="4" l="1"/>
  <c r="E19" i="4" s="1"/>
  <c r="F19" i="4"/>
  <c r="B20" i="4" s="1"/>
  <c r="C17" i="2"/>
  <c r="E17" i="2" s="1"/>
  <c r="F17" i="2" s="1"/>
  <c r="B18" i="2" s="1"/>
  <c r="C20" i="4" l="1"/>
  <c r="E20" i="4" s="1"/>
  <c r="F20" i="4"/>
  <c r="B21" i="4" s="1"/>
  <c r="C18" i="2"/>
  <c r="E18" i="2" s="1"/>
  <c r="F18" i="2"/>
  <c r="B19" i="2" s="1"/>
  <c r="C21" i="4" l="1"/>
  <c r="E21" i="4" s="1"/>
  <c r="F21" i="4"/>
  <c r="C19" i="2"/>
  <c r="E19" i="2" s="1"/>
  <c r="F19" i="2"/>
  <c r="B20" i="2" s="1"/>
  <c r="C20" i="2" l="1"/>
  <c r="E20" i="2" s="1"/>
  <c r="F20" i="2"/>
  <c r="B21" i="2" s="1"/>
  <c r="C21" i="2" l="1"/>
  <c r="E21" i="2" s="1"/>
  <c r="F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<sst xmlns="http://schemas.openxmlformats.org/spreadsheetml/2006/main" count="31" uniqueCount="22">
  <si>
    <t>loan amnt</t>
  </si>
  <si>
    <t>monthly emi</t>
  </si>
  <si>
    <t>no of mnths</t>
  </si>
  <si>
    <t>total amnt paid</t>
  </si>
  <si>
    <t>total int</t>
  </si>
  <si>
    <t>int rate</t>
  </si>
  <si>
    <t>mon due</t>
  </si>
  <si>
    <t>s.no</t>
  </si>
  <si>
    <t>loan</t>
  </si>
  <si>
    <t>int amnt</t>
  </si>
  <si>
    <t>mon paid</t>
  </si>
  <si>
    <t>principaly paid</t>
  </si>
  <si>
    <t>balance amnt</t>
  </si>
  <si>
    <t>sno</t>
  </si>
  <si>
    <t>prin paid</t>
  </si>
  <si>
    <t>r</t>
  </si>
  <si>
    <t>principal loan amnt</t>
  </si>
  <si>
    <t>interest rate</t>
  </si>
  <si>
    <t>no.of.years</t>
  </si>
  <si>
    <t>simple interest</t>
  </si>
  <si>
    <t>compound interest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</si>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</sst>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2" fontId="0" fillId="0" borderId="0" xfId="0" applyNumberFormat="1"/>
    <xf numFmtId="16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E6DD-EA24-4822-9837-FBB894808433}">
  <dimension ref="A1:B6"/>
  <sheetViews>
    <sheetView workbookViewId="0">
      <selection activeCell="B3" sqref="B3"/>
    </sheetView>
  </sheetViews>
  <sheetFormatPr defaultRowHeight="14.4" x14ac:dyDescent="0.3"/>
  <cols>
    <col min="1" max="1" width="15.77734375" customWidth="1"/>
  </cols>
  <sheetData>
    <row r="1" spans="1:2" x14ac:dyDescent="0.3">
      <c r="A1" t="s">
        <v>0</v>
      </c>
      <c r="B1">
        <v>50000</v>
      </c>
    </row>
    <row r="2" spans="1:2" x14ac:dyDescent="0.3">
      <c r="A2" t="s">
        <v>1</v>
      </c>
      <c r="B2">
        <v>1845</v>
      </c>
    </row>
    <row r="3" spans="1:2" x14ac:dyDescent="0.3">
      <c r="A3" t="s">
        <v>2</v>
      </c>
      <c r="B3">
        <v>36</v>
      </c>
    </row>
    <row r="4" spans="1:2" x14ac:dyDescent="0.3">
      <c r="A4" t="s">
        <v>3</v>
      </c>
      <c r="B4">
        <f>B2*B3</f>
        <v>66420</v>
      </c>
    </row>
    <row r="5" spans="1:2" x14ac:dyDescent="0.3">
      <c r="A5" t="s">
        <v>4</v>
      </c>
      <c r="B5">
        <f>B4-B1</f>
        <v>16420</v>
      </c>
    </row>
    <row r="6" spans="1:2" x14ac:dyDescent="0.3">
      <c r="A6" t="s">
        <v>5</v>
      </c>
      <c r="B6" s="1">
        <f>RATE(B3,-B2,B1)*12*100</f>
        <v>19.481655279485278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268E-47E4-46DA-9174-BF445D618DD4}">
  <dimension ref="A1:O27"/>
  <sheetViews>
    <sheetView topLeftCell="A2" workbookViewId="0">
      <selection activeCell="H25" sqref="H25"/>
    </sheetView>
  </sheetViews>
  <sheetFormatPr defaultRowHeight="14.4" x14ac:dyDescent="0.3"/>
  <cols>
    <col min="2" max="2" width="11.109375" customWidth="1"/>
    <col min="4" max="4" width="11.33203125" customWidth="1"/>
    <col min="6" max="6" width="14.21875" customWidth="1"/>
  </cols>
  <sheetData>
    <row r="1" spans="1:15" x14ac:dyDescent="0.3">
      <c r="B1" t="s">
        <v>5</v>
      </c>
      <c r="C1" s="4">
        <v>2.2000000000000002</v>
      </c>
      <c r="D1" t="s">
        <v>0</v>
      </c>
      <c r="E1">
        <v>70000</v>
      </c>
      <c r="F1" t="s">
        <v>6</v>
      </c>
      <c r="G1">
        <v>3795</v>
      </c>
    </row>
    <row r="3" spans="1:15" x14ac:dyDescent="0.3">
      <c r="A3" t="s">
        <v>13</v>
      </c>
      <c r="B3" t="s">
        <v>0</v>
      </c>
      <c r="C3" t="s">
        <v>9</v>
      </c>
      <c r="D3" t="s">
        <v>10</v>
      </c>
      <c r="E3" t="s">
        <v>14</v>
      </c>
      <c r="F3" t="s">
        <v>12</v>
      </c>
    </row>
    <row r="4" spans="1:15" x14ac:dyDescent="0.3">
      <c r="A4">
        <v>1</v>
      </c>
      <c r="B4">
        <v>70000</v>
      </c>
      <c r="C4">
        <f>B4*$C$1/100</f>
        <v>1540</v>
      </c>
      <c r="D4" s="2">
        <f>$G$1</f>
        <v>3795</v>
      </c>
      <c r="E4">
        <f>D4-C4</f>
        <v>2255</v>
      </c>
      <c r="F4">
        <f>B4-E4</f>
        <v>67745</v>
      </c>
    </row>
    <row r="5" spans="1:15" x14ac:dyDescent="0.3">
      <c r="A5">
        <v>2</v>
      </c>
      <c r="B5">
        <f>F4</f>
        <v>67745</v>
      </c>
      <c r="C5">
        <f t="shared" ref="C5:C29" si="0">B5*$C$1/100</f>
        <v>1490.39</v>
      </c>
      <c r="D5" s="2">
        <f t="shared" ref="D5:D29" si="1">$G$1</f>
        <v>3795</v>
      </c>
      <c r="E5">
        <f t="shared" ref="E5:E7" si="2">D5-C5</f>
        <v>2304.6099999999997</v>
      </c>
      <c r="F5">
        <f t="shared" ref="F5:F7" si="3">B5-E5</f>
        <v>65440.39</v>
      </c>
    </row>
    <row r="6" spans="1:15" x14ac:dyDescent="0.3">
      <c r="A6">
        <v>3</v>
      </c>
      <c r="B6">
        <f t="shared" ref="B6:B7" si="4">F5</f>
        <v>65440.39</v>
      </c>
      <c r="C6" s="2">
        <f t="shared" si="0"/>
        <v>1439.68858</v>
      </c>
      <c r="D6" s="2">
        <f t="shared" si="1"/>
        <v>3795</v>
      </c>
      <c r="E6" s="2">
        <f t="shared" ref="E6:E7" si="5">D6-C6</f>
        <v>2355.31142</v>
      </c>
      <c r="F6" s="2">
        <f t="shared" ref="F6:F7" si="6">B6-E6</f>
        <v>63085.078580000001</v>
      </c>
    </row>
    <row r="7" spans="1:15" x14ac:dyDescent="0.3">
      <c r="A7">
        <v>4</v>
      </c>
      <c r="B7" s="2">
        <f t="shared" si="4"/>
        <v>63085.078580000001</v>
      </c>
      <c r="C7" s="2">
        <f t="shared" si="0"/>
        <v>1387.8717287600002</v>
      </c>
      <c r="D7" s="2">
        <f t="shared" si="1"/>
        <v>3795</v>
      </c>
      <c r="E7" s="2">
        <f t="shared" si="5"/>
        <v>2407.1282712399998</v>
      </c>
      <c r="F7" s="2">
        <f t="shared" si="6"/>
        <v>60677.950308760002</v>
      </c>
    </row>
    <row r="8" spans="1:15" x14ac:dyDescent="0.3">
      <c r="A8">
        <v>5</v>
      </c>
      <c r="B8" s="2">
        <f t="shared" ref="B8:B21" si="7">F7</f>
        <v>60677.950308760002</v>
      </c>
      <c r="C8" s="2">
        <f t="shared" si="0"/>
        <v>1334.9149067927201</v>
      </c>
      <c r="D8" s="2">
        <f t="shared" si="1"/>
        <v>3795</v>
      </c>
      <c r="E8" s="2">
        <f t="shared" ref="E8:E21" si="8">D8-C8</f>
        <v>2460.0850932072799</v>
      </c>
      <c r="F8" s="2">
        <f t="shared" ref="F8:F21" si="9">B8-E8</f>
        <v>58217.865215552723</v>
      </c>
    </row>
    <row r="9" spans="1:15" x14ac:dyDescent="0.3">
      <c r="A9">
        <v>6</v>
      </c>
      <c r="B9" s="2">
        <f t="shared" si="7"/>
        <v>58217.865215552723</v>
      </c>
      <c r="C9" s="2">
        <f t="shared" si="0"/>
        <v>1280.79303474216</v>
      </c>
      <c r="D9" s="2">
        <f t="shared" si="1"/>
        <v>3795</v>
      </c>
      <c r="E9" s="2">
        <f t="shared" si="8"/>
        <v>2514.2069652578402</v>
      </c>
      <c r="F9" s="2">
        <f t="shared" si="9"/>
        <v>55703.65825029488</v>
      </c>
    </row>
    <row r="10" spans="1:15" x14ac:dyDescent="0.3">
      <c r="A10">
        <v>7</v>
      </c>
      <c r="B10" s="2">
        <f t="shared" si="7"/>
        <v>55703.65825029488</v>
      </c>
      <c r="C10" s="2">
        <f t="shared" si="0"/>
        <v>1225.4804815064874</v>
      </c>
      <c r="D10" s="2">
        <f t="shared" si="1"/>
        <v>3795</v>
      </c>
      <c r="E10" s="2">
        <f t="shared" si="8"/>
        <v>2569.5195184935128</v>
      </c>
      <c r="F10" s="2">
        <f t="shared" si="9"/>
        <v>53134.138731801366</v>
      </c>
      <c r="O10" t="s">
        <v>15</v>
      </c>
    </row>
    <row r="11" spans="1:15" x14ac:dyDescent="0.3">
      <c r="A11">
        <v>8</v>
      </c>
      <c r="B11" s="2">
        <f t="shared" si="7"/>
        <v>53134.138731801366</v>
      </c>
      <c r="C11" s="2">
        <f t="shared" si="0"/>
        <v>1168.9510520996303</v>
      </c>
      <c r="D11" s="2">
        <f t="shared" si="1"/>
        <v>3795</v>
      </c>
      <c r="E11" s="2">
        <f t="shared" si="8"/>
        <v>2626.04894790037</v>
      </c>
      <c r="F11" s="2">
        <f t="shared" si="9"/>
        <v>50508.089783900999</v>
      </c>
    </row>
    <row r="12" spans="1:15" x14ac:dyDescent="0.3">
      <c r="A12">
        <v>9</v>
      </c>
      <c r="B12" s="2">
        <f t="shared" si="7"/>
        <v>50508.089783900999</v>
      </c>
      <c r="C12" s="2">
        <f t="shared" si="0"/>
        <v>1111.1779752458219</v>
      </c>
      <c r="D12" s="2">
        <f t="shared" si="1"/>
        <v>3795</v>
      </c>
      <c r="E12" s="2">
        <f t="shared" si="8"/>
        <v>2683.8220247541781</v>
      </c>
      <c r="F12" s="2">
        <f t="shared" si="9"/>
        <v>47824.267759146824</v>
      </c>
    </row>
    <row r="13" spans="1:15" x14ac:dyDescent="0.3">
      <c r="A13">
        <v>10</v>
      </c>
      <c r="B13" s="2">
        <f t="shared" si="7"/>
        <v>47824.267759146824</v>
      </c>
      <c r="C13" s="2">
        <f t="shared" si="0"/>
        <v>1052.1338907012303</v>
      </c>
      <c r="D13" s="2">
        <f t="shared" si="1"/>
        <v>3795</v>
      </c>
      <c r="E13" s="2">
        <f t="shared" si="8"/>
        <v>2742.8661092987695</v>
      </c>
      <c r="F13" s="2">
        <f t="shared" si="9"/>
        <v>45081.401649848056</v>
      </c>
    </row>
    <row r="14" spans="1:15" x14ac:dyDescent="0.3">
      <c r="A14">
        <v>11</v>
      </c>
      <c r="B14" s="2">
        <f t="shared" si="7"/>
        <v>45081.401649848056</v>
      </c>
      <c r="C14" s="2">
        <f t="shared" si="0"/>
        <v>991.7908362966574</v>
      </c>
      <c r="D14" s="2">
        <f t="shared" si="1"/>
        <v>3795</v>
      </c>
      <c r="E14" s="2">
        <f t="shared" si="8"/>
        <v>2803.2091637033427</v>
      </c>
      <c r="F14" s="2">
        <f t="shared" si="9"/>
        <v>42278.192486144711</v>
      </c>
    </row>
    <row r="15" spans="1:15" x14ac:dyDescent="0.3">
      <c r="A15">
        <v>12</v>
      </c>
      <c r="B15" s="2">
        <f t="shared" si="7"/>
        <v>42278.192486144711</v>
      </c>
      <c r="C15" s="2">
        <f t="shared" si="0"/>
        <v>930.12023469518374</v>
      </c>
      <c r="D15" s="2">
        <f t="shared" si="1"/>
        <v>3795</v>
      </c>
      <c r="E15" s="2">
        <f t="shared" si="8"/>
        <v>2864.8797653048164</v>
      </c>
      <c r="F15" s="2">
        <f t="shared" si="9"/>
        <v>39413.312720839895</v>
      </c>
    </row>
    <row r="16" spans="1:15" x14ac:dyDescent="0.3">
      <c r="A16">
        <v>13</v>
      </c>
      <c r="B16" s="2">
        <f t="shared" si="7"/>
        <v>39413.312720839895</v>
      </c>
      <c r="C16" s="2">
        <f t="shared" si="0"/>
        <v>867.09287985847766</v>
      </c>
      <c r="D16" s="2">
        <f t="shared" si="1"/>
        <v>3795</v>
      </c>
      <c r="E16" s="2">
        <f t="shared" si="8"/>
        <v>2927.9071201415222</v>
      </c>
      <c r="F16" s="2">
        <f t="shared" si="9"/>
        <v>36485.405600698374</v>
      </c>
    </row>
    <row r="17" spans="1:6" x14ac:dyDescent="0.3">
      <c r="A17">
        <v>14</v>
      </c>
      <c r="B17" s="2">
        <f t="shared" si="7"/>
        <v>36485.405600698374</v>
      </c>
      <c r="C17" s="2">
        <f t="shared" si="0"/>
        <v>802.67892321536431</v>
      </c>
      <c r="D17" s="2">
        <f t="shared" si="1"/>
        <v>3795</v>
      </c>
      <c r="E17" s="2">
        <f t="shared" si="8"/>
        <v>2992.3210767846358</v>
      </c>
      <c r="F17" s="2">
        <f t="shared" si="9"/>
        <v>33493.084523913742</v>
      </c>
    </row>
    <row r="18" spans="1:6" x14ac:dyDescent="0.3">
      <c r="A18">
        <v>15</v>
      </c>
      <c r="B18" s="2">
        <f t="shared" si="7"/>
        <v>33493.084523913742</v>
      </c>
      <c r="C18" s="2">
        <f t="shared" si="0"/>
        <v>736.84785952610241</v>
      </c>
      <c r="D18" s="2">
        <f t="shared" si="1"/>
        <v>3795</v>
      </c>
      <c r="E18" s="2">
        <f t="shared" si="8"/>
        <v>3058.1521404738978</v>
      </c>
      <c r="F18" s="2">
        <f t="shared" si="9"/>
        <v>30434.932383439846</v>
      </c>
    </row>
    <row r="19" spans="1:6" x14ac:dyDescent="0.3">
      <c r="A19">
        <v>16</v>
      </c>
      <c r="B19" s="2">
        <f t="shared" si="7"/>
        <v>30434.932383439846</v>
      </c>
      <c r="C19" s="2">
        <f t="shared" si="0"/>
        <v>669.56851243567667</v>
      </c>
      <c r="D19" s="2">
        <f t="shared" si="1"/>
        <v>3795</v>
      </c>
      <c r="E19" s="2">
        <f t="shared" si="8"/>
        <v>3125.4314875643231</v>
      </c>
      <c r="F19" s="2">
        <f t="shared" si="9"/>
        <v>27309.500895875521</v>
      </c>
    </row>
    <row r="20" spans="1:6" x14ac:dyDescent="0.3">
      <c r="A20">
        <v>17</v>
      </c>
      <c r="B20" s="2">
        <f t="shared" si="7"/>
        <v>27309.500895875521</v>
      </c>
      <c r="C20" s="2">
        <f t="shared" si="0"/>
        <v>600.80901970926152</v>
      </c>
      <c r="D20" s="2">
        <f t="shared" si="1"/>
        <v>3795</v>
      </c>
      <c r="E20" s="2">
        <f t="shared" si="8"/>
        <v>3194.1909802907385</v>
      </c>
      <c r="F20" s="2">
        <f t="shared" si="9"/>
        <v>24115.309915584781</v>
      </c>
    </row>
    <row r="21" spans="1:6" x14ac:dyDescent="0.3">
      <c r="A21">
        <v>18</v>
      </c>
      <c r="B21" s="2">
        <f t="shared" si="7"/>
        <v>24115.309915584781</v>
      </c>
      <c r="C21" s="2">
        <f t="shared" si="0"/>
        <v>530.53681814286529</v>
      </c>
      <c r="D21" s="2">
        <f t="shared" si="1"/>
        <v>3795</v>
      </c>
      <c r="E21" s="2">
        <f t="shared" si="8"/>
        <v>3264.4631818571347</v>
      </c>
      <c r="F21" s="2">
        <f t="shared" si="9"/>
        <v>20850.846733727645</v>
      </c>
    </row>
    <row r="22" spans="1:6" x14ac:dyDescent="0.3">
      <c r="A22">
        <v>19</v>
      </c>
      <c r="B22" s="2">
        <f t="shared" ref="B22:B29" si="10">F21</f>
        <v>20850.846733727645</v>
      </c>
      <c r="C22" s="2">
        <f t="shared" si="0"/>
        <v>458.71862814200824</v>
      </c>
      <c r="D22" s="2">
        <f t="shared" si="1"/>
        <v>3795</v>
      </c>
      <c r="E22" s="2">
        <f t="shared" ref="E22:E29" si="11">D22-C22</f>
        <v>3336.2813718579919</v>
      </c>
      <c r="F22" s="2">
        <f t="shared" ref="F22:F29" si="12">B22-E22</f>
        <v>17514.565361869652</v>
      </c>
    </row>
    <row r="23" spans="1:6" x14ac:dyDescent="0.3">
      <c r="A23">
        <v>20</v>
      </c>
      <c r="B23" s="2">
        <f t="shared" si="10"/>
        <v>17514.565361869652</v>
      </c>
      <c r="C23" s="2">
        <f t="shared" si="0"/>
        <v>385.32043796113243</v>
      </c>
      <c r="D23" s="2">
        <f t="shared" si="1"/>
        <v>3795</v>
      </c>
      <c r="E23" s="2">
        <f t="shared" si="11"/>
        <v>3409.6795620388675</v>
      </c>
      <c r="F23" s="2">
        <f t="shared" si="12"/>
        <v>14104.885799830785</v>
      </c>
    </row>
    <row r="24" spans="1:6" x14ac:dyDescent="0.3">
      <c r="A24">
        <v>21</v>
      </c>
      <c r="B24" s="2">
        <f t="shared" si="10"/>
        <v>14104.885799830785</v>
      </c>
      <c r="C24" s="2">
        <f t="shared" si="0"/>
        <v>310.30748759627727</v>
      </c>
      <c r="D24" s="2">
        <f t="shared" si="1"/>
        <v>3795</v>
      </c>
      <c r="E24" s="2">
        <f t="shared" si="11"/>
        <v>3484.6925124037225</v>
      </c>
      <c r="F24" s="2">
        <f t="shared" si="12"/>
        <v>10620.193287427062</v>
      </c>
    </row>
    <row r="25" spans="1:6" x14ac:dyDescent="0.3">
      <c r="A25">
        <v>22</v>
      </c>
      <c r="B25" s="2">
        <f t="shared" si="10"/>
        <v>10620.193287427062</v>
      </c>
      <c r="C25" s="2">
        <f t="shared" si="0"/>
        <v>233.64425232339536</v>
      </c>
      <c r="D25" s="2">
        <f t="shared" si="1"/>
        <v>3795</v>
      </c>
      <c r="E25" s="2">
        <f t="shared" si="11"/>
        <v>3561.3557476766046</v>
      </c>
      <c r="F25" s="2">
        <f t="shared" si="12"/>
        <v>7058.8375397504578</v>
      </c>
    </row>
    <row r="26" spans="1:6" x14ac:dyDescent="0.3">
      <c r="A26">
        <v>23</v>
      </c>
      <c r="B26" s="2">
        <f t="shared" si="10"/>
        <v>7058.8375397504578</v>
      </c>
      <c r="C26" s="2">
        <f t="shared" si="0"/>
        <v>155.2944258745101</v>
      </c>
      <c r="D26" s="2">
        <f t="shared" si="1"/>
        <v>3795</v>
      </c>
      <c r="E26" s="2">
        <f t="shared" si="11"/>
        <v>3639.7055741254899</v>
      </c>
      <c r="F26" s="2">
        <f t="shared" si="12"/>
        <v>3419.131965624968</v>
      </c>
    </row>
    <row r="27" spans="1:6" x14ac:dyDescent="0.3">
      <c r="B27" s="2">
        <f t="shared" ref="B27" si="13">F26</f>
        <v>3419.131965624968</v>
      </c>
      <c r="C27" s="2">
        <f t="shared" si="0"/>
        <v>75.220903243749305</v>
      </c>
      <c r="D27" s="2">
        <f t="shared" si="1"/>
        <v>3795</v>
      </c>
      <c r="E27" s="2">
        <f t="shared" ref="E27" si="14">D27-C27</f>
        <v>3719.7790967562505</v>
      </c>
      <c r="F27" s="2">
        <f t="shared" ref="F27" si="15">B27-E27</f>
        <v>-300.64713113128255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E6D9-11A2-4D75-A489-86CA3D346401}">
  <dimension ref="A1:E18"/>
  <sheetViews>
    <sheetView tabSelected="1" workbookViewId="0">
      <selection activeCell="E18" sqref="E18"/>
    </sheetView>
  </sheetViews>
  <sheetFormatPr defaultRowHeight="14.4" x14ac:dyDescent="0.3"/>
  <cols>
    <col min="2" max="2" width="23.44140625" customWidth="1"/>
  </cols>
  <sheetData>
    <row r="1" spans="1:5" x14ac:dyDescent="0.3">
      <c r="A1" s="4"/>
    </row>
    <row r="3" spans="1:5" x14ac:dyDescent="0.3">
      <c r="B3" t="s">
        <v>16</v>
      </c>
      <c r="C3">
        <v>100000</v>
      </c>
    </row>
    <row r="4" spans="1:5" x14ac:dyDescent="0.3">
      <c r="B4" t="s">
        <v>17</v>
      </c>
      <c r="C4">
        <v>10</v>
      </c>
    </row>
    <row r="5" spans="1:5" x14ac:dyDescent="0.3">
      <c r="B5" t="s">
        <v>18</v>
      </c>
      <c r="C5">
        <v>3</v>
      </c>
    </row>
    <row r="7" spans="1:5" x14ac:dyDescent="0.3">
      <c r="B7" t="s">
        <v>19</v>
      </c>
      <c r="C7" cm="1">
        <f t="array" ref="C7">(principle*noy*ir)/100</f>
        <v>30000</v>
      </c>
    </row>
    <row r="8" spans="1:5" x14ac:dyDescent="0.3">
      <c r="B8" t="s">
        <v>20</v>
      </c>
      <c r="C8">
        <f>principle*(1+(ir/100))^noy</f>
        <v>133100.00000000003</v>
      </c>
      <c r="E8">
        <f>C7-C8</f>
        <v>-103100.00000000003</v>
      </c>
    </row>
    <row r="18" spans="5:5" x14ac:dyDescent="0.3">
      <c r="E1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01E8-D4DC-4A52-894B-A6B92A594C2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2DCC-3830-4EA3-9F21-695E4FFB5A2B}">
  <dimension ref="A1:G30"/>
  <sheetViews>
    <sheetView workbookViewId="0">
      <selection activeCell="B4" sqref="B4"/>
    </sheetView>
  </sheetViews>
  <sheetFormatPr defaultRowHeight="14.4" x14ac:dyDescent="0.3"/>
  <cols>
    <col min="2" max="2" width="11.5546875" bestFit="1" customWidth="1"/>
    <col min="3" max="3" width="9.5546875" bestFit="1" customWidth="1"/>
    <col min="4" max="4" width="11.109375" customWidth="1"/>
    <col min="5" max="5" width="15.77734375" customWidth="1"/>
    <col min="6" max="6" width="12.21875" customWidth="1"/>
  </cols>
  <sheetData>
    <row r="1" spans="1:7" x14ac:dyDescent="0.3">
      <c r="B1" t="s">
        <v>5</v>
      </c>
      <c r="C1">
        <v>1.6</v>
      </c>
      <c r="D1" t="s">
        <v>0</v>
      </c>
      <c r="E1">
        <v>50000</v>
      </c>
      <c r="F1" t="s">
        <v>6</v>
      </c>
      <c r="G1">
        <v>1845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7" x14ac:dyDescent="0.3">
      <c r="A4">
        <v>1</v>
      </c>
      <c r="B4">
        <v>50000</v>
      </c>
      <c r="C4">
        <f>B4*$C$1/100</f>
        <v>800</v>
      </c>
      <c r="D4">
        <f>$G$1</f>
        <v>1845</v>
      </c>
      <c r="E4">
        <f>D4-C4</f>
        <v>1045</v>
      </c>
      <c r="F4">
        <f>B4-E4</f>
        <v>48955</v>
      </c>
    </row>
    <row r="5" spans="1:7" x14ac:dyDescent="0.3">
      <c r="A5">
        <v>2</v>
      </c>
      <c r="B5" s="3">
        <f>F4</f>
        <v>48955</v>
      </c>
      <c r="C5" s="3">
        <f>B5*$C$1/100</f>
        <v>783.28</v>
      </c>
      <c r="D5" s="3">
        <f>$G$1</f>
        <v>1845</v>
      </c>
      <c r="E5" s="3">
        <f>D5-C5</f>
        <v>1061.72</v>
      </c>
      <c r="F5" s="3">
        <f>B5-E5</f>
        <v>47893.279999999999</v>
      </c>
    </row>
    <row r="6" spans="1:7" x14ac:dyDescent="0.3">
      <c r="A6">
        <v>3</v>
      </c>
      <c r="B6" s="3">
        <f t="shared" ref="B6:B21" si="0">F5</f>
        <v>47893.279999999999</v>
      </c>
      <c r="C6" s="3">
        <f t="shared" ref="C6:C30" si="1">B6*$C$1/100</f>
        <v>766.29248000000007</v>
      </c>
      <c r="D6" s="3">
        <f t="shared" ref="D6:D30" si="2">$G$1</f>
        <v>1845</v>
      </c>
      <c r="E6" s="3">
        <f t="shared" ref="E6:E21" si="3">D6-C6</f>
        <v>1078.7075199999999</v>
      </c>
      <c r="F6" s="3">
        <f t="shared" ref="F6:F21" si="4">B6-E6</f>
        <v>46814.572480000003</v>
      </c>
    </row>
    <row r="7" spans="1:7" x14ac:dyDescent="0.3">
      <c r="A7">
        <v>4</v>
      </c>
      <c r="B7" s="3">
        <f t="shared" si="0"/>
        <v>46814.572480000003</v>
      </c>
      <c r="C7" s="3">
        <f t="shared" si="1"/>
        <v>749.03315968000015</v>
      </c>
      <c r="D7" s="3">
        <f t="shared" si="2"/>
        <v>1845</v>
      </c>
      <c r="E7" s="3">
        <f t="shared" si="3"/>
        <v>1095.9668403199998</v>
      </c>
      <c r="F7" s="3">
        <f t="shared" si="4"/>
        <v>45718.605639680005</v>
      </c>
    </row>
    <row r="8" spans="1:7" x14ac:dyDescent="0.3">
      <c r="A8">
        <v>5</v>
      </c>
      <c r="B8" s="3">
        <f t="shared" si="0"/>
        <v>45718.605639680005</v>
      </c>
      <c r="C8" s="3">
        <f t="shared" si="1"/>
        <v>731.49769023488011</v>
      </c>
      <c r="D8" s="3">
        <f t="shared" si="2"/>
        <v>1845</v>
      </c>
      <c r="E8" s="3">
        <f t="shared" si="3"/>
        <v>1113.5023097651199</v>
      </c>
      <c r="F8" s="3">
        <f t="shared" si="4"/>
        <v>44605.103329914884</v>
      </c>
    </row>
    <row r="9" spans="1:7" x14ac:dyDescent="0.3">
      <c r="A9">
        <v>6</v>
      </c>
      <c r="B9" s="3">
        <f t="shared" si="0"/>
        <v>44605.103329914884</v>
      </c>
      <c r="C9" s="3">
        <f t="shared" si="1"/>
        <v>713.68165327863812</v>
      </c>
      <c r="D9" s="3">
        <f t="shared" si="2"/>
        <v>1845</v>
      </c>
      <c r="E9" s="3">
        <f t="shared" si="3"/>
        <v>1131.3183467213619</v>
      </c>
      <c r="F9" s="3">
        <f t="shared" si="4"/>
        <v>43473.784983193524</v>
      </c>
    </row>
    <row r="10" spans="1:7" x14ac:dyDescent="0.3">
      <c r="A10">
        <v>7</v>
      </c>
      <c r="B10" s="3">
        <f t="shared" si="0"/>
        <v>43473.784983193524</v>
      </c>
      <c r="C10" s="3">
        <f t="shared" si="1"/>
        <v>695.5805597310964</v>
      </c>
      <c r="D10" s="3">
        <f t="shared" si="2"/>
        <v>1845</v>
      </c>
      <c r="E10" s="3">
        <f t="shared" si="3"/>
        <v>1149.4194402689036</v>
      </c>
      <c r="F10" s="3">
        <f t="shared" si="4"/>
        <v>42324.365542924621</v>
      </c>
    </row>
    <row r="11" spans="1:7" x14ac:dyDescent="0.3">
      <c r="A11">
        <v>8</v>
      </c>
      <c r="B11" s="3">
        <f t="shared" si="0"/>
        <v>42324.365542924621</v>
      </c>
      <c r="C11" s="3">
        <f t="shared" si="1"/>
        <v>677.18984868679399</v>
      </c>
      <c r="D11" s="3">
        <f t="shared" si="2"/>
        <v>1845</v>
      </c>
      <c r="E11" s="3">
        <f t="shared" si="3"/>
        <v>1167.810151313206</v>
      </c>
      <c r="F11" s="3">
        <f t="shared" si="4"/>
        <v>41156.555391611415</v>
      </c>
    </row>
    <row r="12" spans="1:7" x14ac:dyDescent="0.3">
      <c r="A12">
        <v>9</v>
      </c>
      <c r="B12" s="3">
        <f t="shared" si="0"/>
        <v>41156.555391611415</v>
      </c>
      <c r="C12" s="3">
        <f t="shared" si="1"/>
        <v>658.50488626578272</v>
      </c>
      <c r="D12" s="3">
        <f t="shared" si="2"/>
        <v>1845</v>
      </c>
      <c r="E12" s="3">
        <f t="shared" si="3"/>
        <v>1186.4951137342173</v>
      </c>
      <c r="F12" s="3">
        <f t="shared" si="4"/>
        <v>39970.060277877201</v>
      </c>
    </row>
    <row r="13" spans="1:7" x14ac:dyDescent="0.3">
      <c r="A13">
        <v>10</v>
      </c>
      <c r="B13" s="3">
        <f t="shared" si="0"/>
        <v>39970.060277877201</v>
      </c>
      <c r="C13" s="3">
        <f t="shared" si="1"/>
        <v>639.52096444603524</v>
      </c>
      <c r="D13" s="3">
        <f t="shared" si="2"/>
        <v>1845</v>
      </c>
      <c r="E13" s="3">
        <f t="shared" si="3"/>
        <v>1205.4790355539649</v>
      </c>
      <c r="F13" s="3">
        <f t="shared" si="4"/>
        <v>38764.581242323235</v>
      </c>
    </row>
    <row r="14" spans="1:7" x14ac:dyDescent="0.3">
      <c r="A14">
        <v>11</v>
      </c>
      <c r="B14" s="3">
        <f t="shared" si="0"/>
        <v>38764.581242323235</v>
      </c>
      <c r="C14" s="3">
        <f t="shared" si="1"/>
        <v>620.23329987717182</v>
      </c>
      <c r="D14" s="3">
        <f t="shared" si="2"/>
        <v>1845</v>
      </c>
      <c r="E14" s="3">
        <f t="shared" si="3"/>
        <v>1224.7667001228283</v>
      </c>
      <c r="F14" s="3">
        <f t="shared" si="4"/>
        <v>37539.814542200409</v>
      </c>
    </row>
    <row r="15" spans="1:7" x14ac:dyDescent="0.3">
      <c r="A15">
        <v>12</v>
      </c>
      <c r="B15" s="3">
        <f t="shared" si="0"/>
        <v>37539.814542200409</v>
      </c>
      <c r="C15" s="3">
        <f t="shared" si="1"/>
        <v>600.63703267520657</v>
      </c>
      <c r="D15" s="3">
        <f t="shared" si="2"/>
        <v>1845</v>
      </c>
      <c r="E15" s="3">
        <f t="shared" si="3"/>
        <v>1244.3629673247933</v>
      </c>
      <c r="F15" s="3">
        <f t="shared" si="4"/>
        <v>36295.451574875617</v>
      </c>
    </row>
    <row r="16" spans="1:7" x14ac:dyDescent="0.3">
      <c r="A16">
        <v>13</v>
      </c>
      <c r="B16" s="3">
        <f t="shared" si="0"/>
        <v>36295.451574875617</v>
      </c>
      <c r="C16" s="3">
        <f t="shared" si="1"/>
        <v>580.72722519800993</v>
      </c>
      <c r="D16" s="3">
        <f t="shared" si="2"/>
        <v>1845</v>
      </c>
      <c r="E16" s="3">
        <f t="shared" si="3"/>
        <v>1264.2727748019902</v>
      </c>
      <c r="F16" s="3">
        <f t="shared" si="4"/>
        <v>35031.178800073627</v>
      </c>
    </row>
    <row r="17" spans="1:6" x14ac:dyDescent="0.3">
      <c r="A17">
        <v>14</v>
      </c>
      <c r="B17" s="3">
        <f t="shared" si="0"/>
        <v>35031.178800073627</v>
      </c>
      <c r="C17" s="3">
        <f t="shared" si="1"/>
        <v>560.49886080117813</v>
      </c>
      <c r="D17" s="3">
        <f t="shared" si="2"/>
        <v>1845</v>
      </c>
      <c r="E17" s="3">
        <f t="shared" si="3"/>
        <v>1284.5011391988219</v>
      </c>
      <c r="F17" s="3">
        <f t="shared" si="4"/>
        <v>33746.677660874804</v>
      </c>
    </row>
    <row r="18" spans="1:6" x14ac:dyDescent="0.3">
      <c r="A18">
        <v>15</v>
      </c>
      <c r="B18" s="3">
        <f t="shared" si="0"/>
        <v>33746.677660874804</v>
      </c>
      <c r="C18" s="3">
        <f t="shared" si="1"/>
        <v>539.94684257399695</v>
      </c>
      <c r="D18" s="3">
        <f t="shared" si="2"/>
        <v>1845</v>
      </c>
      <c r="E18" s="3">
        <f t="shared" si="3"/>
        <v>1305.0531574260031</v>
      </c>
      <c r="F18" s="3">
        <f t="shared" si="4"/>
        <v>32441.624503448802</v>
      </c>
    </row>
    <row r="19" spans="1:6" x14ac:dyDescent="0.3">
      <c r="A19">
        <v>16</v>
      </c>
      <c r="B19" s="3">
        <f t="shared" si="0"/>
        <v>32441.624503448802</v>
      </c>
      <c r="C19" s="3">
        <f t="shared" si="1"/>
        <v>519.0659920551808</v>
      </c>
      <c r="D19" s="3">
        <f t="shared" si="2"/>
        <v>1845</v>
      </c>
      <c r="E19" s="3">
        <f t="shared" si="3"/>
        <v>1325.9340079448193</v>
      </c>
      <c r="F19" s="3">
        <f t="shared" si="4"/>
        <v>31115.690495503983</v>
      </c>
    </row>
    <row r="20" spans="1:6" x14ac:dyDescent="0.3">
      <c r="A20">
        <v>17</v>
      </c>
      <c r="B20" s="3">
        <f t="shared" si="0"/>
        <v>31115.690495503983</v>
      </c>
      <c r="C20" s="3">
        <f t="shared" si="1"/>
        <v>497.85104792806379</v>
      </c>
      <c r="D20" s="3">
        <f t="shared" si="2"/>
        <v>1845</v>
      </c>
      <c r="E20" s="3">
        <f t="shared" si="3"/>
        <v>1347.1489520719363</v>
      </c>
      <c r="F20" s="3">
        <f t="shared" si="4"/>
        <v>29768.541543432046</v>
      </c>
    </row>
    <row r="21" spans="1:6" x14ac:dyDescent="0.3">
      <c r="A21">
        <v>18</v>
      </c>
      <c r="B21" s="3">
        <f t="shared" si="0"/>
        <v>29768.541543432046</v>
      </c>
      <c r="C21" s="3">
        <f t="shared" si="1"/>
        <v>476.29666469491275</v>
      </c>
      <c r="D21" s="3">
        <f t="shared" si="2"/>
        <v>1845</v>
      </c>
      <c r="E21" s="3">
        <f t="shared" si="3"/>
        <v>1368.7033353050872</v>
      </c>
      <c r="F21" s="3">
        <f t="shared" si="4"/>
        <v>28399.838208126959</v>
      </c>
    </row>
    <row r="22" spans="1:6" x14ac:dyDescent="0.3">
      <c r="A22">
        <v>19</v>
      </c>
      <c r="B22" s="3">
        <f t="shared" ref="B22:B30" si="5">F21</f>
        <v>28399.838208126959</v>
      </c>
      <c r="C22" s="3">
        <f t="shared" si="1"/>
        <v>454.39741133003139</v>
      </c>
      <c r="D22" s="3">
        <f t="shared" si="2"/>
        <v>1845</v>
      </c>
      <c r="E22" s="3">
        <f t="shared" ref="E22:E30" si="6">D22-C22</f>
        <v>1390.6025886699686</v>
      </c>
      <c r="F22" s="3">
        <f t="shared" ref="F22:F30" si="7">B22-E22</f>
        <v>27009.235619456991</v>
      </c>
    </row>
    <row r="23" spans="1:6" x14ac:dyDescent="0.3">
      <c r="A23">
        <v>20</v>
      </c>
      <c r="B23" s="3">
        <f t="shared" si="5"/>
        <v>27009.235619456991</v>
      </c>
      <c r="C23" s="3">
        <f t="shared" si="1"/>
        <v>432.14776991131191</v>
      </c>
      <c r="D23" s="3">
        <f t="shared" si="2"/>
        <v>1845</v>
      </c>
      <c r="E23" s="3">
        <f t="shared" si="6"/>
        <v>1412.852230088688</v>
      </c>
      <c r="F23" s="3">
        <f t="shared" si="7"/>
        <v>25596.383389368304</v>
      </c>
    </row>
    <row r="24" spans="1:6" x14ac:dyDescent="0.3">
      <c r="A24">
        <v>21</v>
      </c>
      <c r="B24" s="3">
        <f t="shared" si="5"/>
        <v>25596.383389368304</v>
      </c>
      <c r="C24" s="3">
        <f t="shared" si="1"/>
        <v>409.54213422989289</v>
      </c>
      <c r="D24" s="3">
        <f t="shared" si="2"/>
        <v>1845</v>
      </c>
      <c r="E24" s="3">
        <f t="shared" si="6"/>
        <v>1435.4578657701072</v>
      </c>
      <c r="F24" s="3">
        <f t="shared" si="7"/>
        <v>24160.925523598198</v>
      </c>
    </row>
    <row r="25" spans="1:6" x14ac:dyDescent="0.3">
      <c r="A25">
        <v>22</v>
      </c>
      <c r="B25" s="3">
        <f t="shared" si="5"/>
        <v>24160.925523598198</v>
      </c>
      <c r="C25" s="3">
        <f t="shared" si="1"/>
        <v>386.57480837757117</v>
      </c>
      <c r="D25" s="3">
        <f t="shared" si="2"/>
        <v>1845</v>
      </c>
      <c r="E25" s="3">
        <f t="shared" si="6"/>
        <v>1458.4251916224289</v>
      </c>
      <c r="F25" s="3">
        <f t="shared" si="7"/>
        <v>22702.500331975771</v>
      </c>
    </row>
    <row r="26" spans="1:6" x14ac:dyDescent="0.3">
      <c r="A26">
        <v>23</v>
      </c>
      <c r="B26" s="3">
        <f t="shared" si="5"/>
        <v>22702.500331975771</v>
      </c>
      <c r="C26" s="3">
        <f t="shared" si="1"/>
        <v>363.24000531161232</v>
      </c>
      <c r="D26" s="3">
        <f t="shared" si="2"/>
        <v>1845</v>
      </c>
      <c r="E26" s="3">
        <f t="shared" si="6"/>
        <v>1481.7599946883877</v>
      </c>
      <c r="F26" s="3">
        <f t="shared" si="7"/>
        <v>21220.740337287381</v>
      </c>
    </row>
    <row r="27" spans="1:6" x14ac:dyDescent="0.3">
      <c r="A27">
        <v>24</v>
      </c>
      <c r="B27" s="3">
        <f t="shared" si="5"/>
        <v>21220.740337287381</v>
      </c>
      <c r="C27" s="3">
        <f t="shared" si="1"/>
        <v>339.53184539659816</v>
      </c>
      <c r="D27" s="3">
        <f t="shared" si="2"/>
        <v>1845</v>
      </c>
      <c r="E27" s="3">
        <f t="shared" si="6"/>
        <v>1505.4681546034019</v>
      </c>
      <c r="F27" s="3">
        <f t="shared" si="7"/>
        <v>19715.272182683981</v>
      </c>
    </row>
    <row r="28" spans="1:6" x14ac:dyDescent="0.3">
      <c r="A28">
        <v>25</v>
      </c>
      <c r="B28" s="3">
        <f t="shared" si="5"/>
        <v>19715.272182683981</v>
      </c>
      <c r="C28" s="3">
        <f t="shared" si="1"/>
        <v>315.44435492294372</v>
      </c>
      <c r="D28" s="3">
        <f t="shared" si="2"/>
        <v>1845</v>
      </c>
      <c r="E28" s="3">
        <f t="shared" si="6"/>
        <v>1529.5556450770564</v>
      </c>
      <c r="F28" s="3">
        <f t="shared" si="7"/>
        <v>18185.716537606924</v>
      </c>
    </row>
    <row r="29" spans="1:6" x14ac:dyDescent="0.3">
      <c r="A29">
        <v>26</v>
      </c>
      <c r="B29" s="3">
        <f t="shared" si="5"/>
        <v>18185.716537606924</v>
      </c>
      <c r="C29" s="3">
        <f t="shared" si="1"/>
        <v>290.97146460171081</v>
      </c>
      <c r="D29" s="3">
        <f t="shared" si="2"/>
        <v>1845</v>
      </c>
      <c r="E29" s="3">
        <f t="shared" si="6"/>
        <v>1554.0285353982893</v>
      </c>
      <c r="F29" s="3">
        <f t="shared" si="7"/>
        <v>16631.688002208633</v>
      </c>
    </row>
    <row r="30" spans="1:6" x14ac:dyDescent="0.3">
      <c r="A30">
        <v>27</v>
      </c>
      <c r="B30" s="3">
        <f t="shared" si="5"/>
        <v>16631.688002208633</v>
      </c>
      <c r="C30" s="3">
        <f t="shared" si="1"/>
        <v>266.10700803533814</v>
      </c>
      <c r="D30" s="3">
        <f t="shared" si="2"/>
        <v>1845</v>
      </c>
      <c r="E30" s="3">
        <f t="shared" si="6"/>
        <v>1578.8929919646619</v>
      </c>
      <c r="F30" s="3">
        <f t="shared" si="7"/>
        <v>15052.795010243972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interest calculation  </vt:lpstr>
      <vt:lpstr>Sheet3</vt:lpstr>
      <vt:lpstr>Sheet4</vt:lpstr>
      <vt:lpstr>Sheet1</vt:lpstr>
      <vt:lpstr>Sheet2</vt:lpstr>
      <vt:lpstr>ir</vt:lpstr>
      <vt:lpstr>no.of.years</vt:lpstr>
      <vt:lpstr>noy</vt:lpstr>
      <vt:lpstr>principal</vt:lpstr>
      <vt:lpstr>principle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Sneka R</dc:creator>
  <cp:lastModifiedBy>Sneka R</cp:lastModifiedBy>
  <dcterms:created xsi:type="dcterms:W3CDTF">2025-12-15T09:35:40Z</dcterms:created>
  <dcterms:modified xsi:type="dcterms:W3CDTF">2025-12-15T12:18:06Z</dcterms:modified>
</cp:coreProperties>
</file>